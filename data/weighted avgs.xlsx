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aef0dbabbf3d2/Documents/career/python/projecets/world population data/"/>
    </mc:Choice>
  </mc:AlternateContent>
  <xr:revisionPtr revIDLastSave="643" documentId="8_{ED6D3059-2351-4DD0-A9EB-A049951EC9C3}" xr6:coauthVersionLast="47" xr6:coauthVersionMax="47" xr10:uidLastSave="{6DDEB65F-EC31-405A-9382-B4D709715CA6}"/>
  <bookViews>
    <workbookView xWindow="-110" yWindow="-110" windowWidth="19420" windowHeight="11020" activeTab="1" xr2:uid="{6CE58960-410A-4872-B70A-CE4F4513E9D7}"/>
  </bookViews>
  <sheets>
    <sheet name="region" sheetId="1" r:id="rId1"/>
    <sheet name="5 countr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M17" i="3" s="1"/>
  <c r="M22" i="3" s="1"/>
  <c r="M11" i="3"/>
  <c r="M16" i="3" s="1"/>
  <c r="M21" i="3" s="1"/>
  <c r="M8" i="3"/>
  <c r="M13" i="3" s="1"/>
  <c r="M18" i="3" s="1"/>
  <c r="F61" i="3"/>
  <c r="F60" i="3"/>
  <c r="F59" i="3"/>
  <c r="F58" i="3"/>
  <c r="F57" i="3"/>
  <c r="G9" i="3"/>
  <c r="I9" i="3" s="1"/>
  <c r="G10" i="3"/>
  <c r="I10" i="3" s="1"/>
  <c r="G11" i="3"/>
  <c r="I11" i="3" s="1"/>
  <c r="G12" i="3"/>
  <c r="I12" i="3" s="1"/>
  <c r="G13" i="3"/>
  <c r="I13" i="3" s="1"/>
  <c r="G14" i="3"/>
  <c r="I14" i="3" s="1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32" i="3"/>
  <c r="I32" i="3" s="1"/>
  <c r="G33" i="3"/>
  <c r="I33" i="3" s="1"/>
  <c r="G34" i="3"/>
  <c r="I34" i="3" s="1"/>
  <c r="G35" i="3"/>
  <c r="I35" i="3" s="1"/>
  <c r="G36" i="3"/>
  <c r="I36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46" i="3"/>
  <c r="I46" i="3" s="1"/>
  <c r="G47" i="3"/>
  <c r="I47" i="3" s="1"/>
  <c r="G48" i="3"/>
  <c r="I48" i="3" s="1"/>
  <c r="G49" i="3"/>
  <c r="I49" i="3" s="1"/>
  <c r="G50" i="3"/>
  <c r="I50" i="3" s="1"/>
  <c r="G51" i="3"/>
  <c r="I51" i="3" s="1"/>
  <c r="G52" i="3"/>
  <c r="I52" i="3" s="1"/>
  <c r="I21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3" i="3"/>
  <c r="G8" i="3"/>
  <c r="G57" i="3" l="1"/>
  <c r="H60" i="3"/>
  <c r="I59" i="3"/>
  <c r="H61" i="3"/>
  <c r="H58" i="3"/>
  <c r="H57" i="3"/>
  <c r="H59" i="3"/>
  <c r="I60" i="3"/>
  <c r="I58" i="3"/>
  <c r="G59" i="3"/>
  <c r="I61" i="3"/>
  <c r="G58" i="3"/>
  <c r="G60" i="3"/>
  <c r="G61" i="3"/>
  <c r="I8" i="3"/>
  <c r="I57" i="3" s="1"/>
  <c r="L16" i="1" l="1"/>
  <c r="L17" i="1" s="1"/>
  <c r="L15" i="1"/>
  <c r="F14" i="1"/>
  <c r="E16" i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H14" i="1"/>
  <c r="F6" i="1"/>
  <c r="G6" i="1"/>
  <c r="G7" i="1"/>
  <c r="G8" i="1"/>
  <c r="G9" i="1"/>
  <c r="G10" i="1"/>
  <c r="G11" i="1"/>
  <c r="G12" i="1"/>
  <c r="G13" i="1"/>
  <c r="G14" i="1"/>
  <c r="G5" i="1"/>
  <c r="G16" i="1" l="1"/>
  <c r="F16" i="1"/>
  <c r="H6" i="1"/>
  <c r="H16" i="1" s="1"/>
</calcChain>
</file>

<file path=xl/sharedStrings.xml><?xml version="1.0" encoding="utf-8"?>
<sst xmlns="http://schemas.openxmlformats.org/spreadsheetml/2006/main" count="223" uniqueCount="32">
  <si>
    <t>year</t>
  </si>
  <si>
    <t>weight</t>
  </si>
  <si>
    <t>avg growth rate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</si>
  <si>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</si>
  <si>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</si>
  <si>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</si>
  <si>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</si>
  <si>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</si>
  <si>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</si>
  <si>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</si>
  <si>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</si>
  <si>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time period</t>
  </si>
  <si>
    <t>2000-2005</t>
  </si>
  <si>
    <t>2010-2015</t>
  </si>
  <si>
    <t>2005-2010</t>
  </si>
  <si>
    <t>2015-2020</t>
  </si>
  <si>
    <t>growth rate diff</t>
  </si>
  <si>
    <t>weight*growth rate</t>
  </si>
  <si>
    <t>weight*growth rate diff</t>
  </si>
  <si>
    <t>-</t>
  </si>
  <si>
    <t>averages:</t>
  </si>
  <si>
    <t>PROJECTIONS -- using avg growth rate diff in cell H16</t>
  </si>
  <si>
    <t>2021-2025</t>
  </si>
  <si>
    <t>2031-2035</t>
  </si>
  <si>
    <t>2026-2030</t>
  </si>
  <si>
    <t>Country</t>
  </si>
  <si>
    <t>TON</t>
  </si>
  <si>
    <t>WSM</t>
  </si>
  <si>
    <t>PLW</t>
  </si>
  <si>
    <t>KOR</t>
  </si>
  <si>
    <t>PROJECTIONS -- using avg growth rate diff's in cells I57-I61</t>
  </si>
  <si>
    <t>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</si>
</sst>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"/>
    <numFmt numFmtId="165" formatCode="0.000000000000000"/>
    <numFmt numFmtId="166" formatCode="0.0000000000000000"/>
    <numFmt numFmtId="167" formatCode="0.00000000000000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3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/>
    <xf numFmtId="0" fontId="1" fillId="0" borderId="1" xfId="0" applyFont="1" applyBorder="1"/>
    <xf numFmtId="0" fontId="0" fillId="0" borderId="1" xfId="0" applyBorder="1"/>
    <xf numFmtId="166" fontId="0" fillId="0" borderId="0" xfId="0" applyNumberFormat="1"/>
    <xf numFmtId="0" fontId="0" fillId="0" borderId="2" xfId="0" applyBorder="1"/>
    <xf numFmtId="0" fontId="0" fillId="0" borderId="3" xfId="0" applyBorder="1"/>
    <xf numFmtId="166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6" xfId="0" applyFont="1" applyBorder="1"/>
    <xf numFmtId="0" fontId="0" fillId="0" borderId="8" xfId="0" applyBorder="1"/>
    <xf numFmtId="164" fontId="0" fillId="0" borderId="9" xfId="0" applyNumberFormat="1" applyBorder="1"/>
    <xf numFmtId="0" fontId="1" fillId="0" borderId="0" xfId="0" applyFont="1"/>
    <xf numFmtId="165" fontId="0" fillId="0" borderId="10" xfId="0" applyNumberFormat="1" applyBorder="1"/>
    <xf numFmtId="166" fontId="0" fillId="0" borderId="4" xfId="0" applyNumberFormat="1" applyBorder="1"/>
    <xf numFmtId="165" fontId="0" fillId="0" borderId="1" xfId="0" applyNumberFormat="1" applyBorder="1"/>
    <xf numFmtId="0" fontId="4" fillId="0" borderId="0" xfId="0" applyFont="1"/>
    <xf numFmtId="167" fontId="0" fillId="0" borderId="0" xfId="0" applyNumberFormat="1" applyAlignment="1">
      <alignment vertical="center"/>
    </xf>
    <xf numFmtId="167" fontId="0" fillId="0" borderId="0" xfId="0" applyNumberFormat="1"/>
    <xf numFmtId="167" fontId="1" fillId="0" borderId="1" xfId="0" applyNumberFormat="1" applyFont="1" applyBorder="1"/>
    <xf numFmtId="167" fontId="0" fillId="0" borderId="1" xfId="0" applyNumberFormat="1" applyBorder="1"/>
    <xf numFmtId="167" fontId="0" fillId="0" borderId="3" xfId="0" applyNumberFormat="1" applyBorder="1"/>
    <xf numFmtId="167" fontId="0" fillId="0" borderId="4" xfId="0" applyNumberFormat="1" applyBorder="1"/>
    <xf numFmtId="0" fontId="0" fillId="0" borderId="10" xfId="0" applyBorder="1"/>
    <xf numFmtId="167" fontId="0" fillId="0" borderId="9" xfId="0" applyNumberFormat="1" applyBorder="1"/>
    <xf numFmtId="167" fontId="0" fillId="0" borderId="10" xfId="0" applyNumberFormat="1" applyBorder="1"/>
  </cellXfs>
  <cellStyles count="1">
    <cellStyle name="Normal" xfId="0" builtinId="0"/>
  </cellStyles>
  <dxfs count="12">
    <dxf>
      <numFmt numFmtId="167" formatCode="0.0000000000000000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7" formatCode="0.0000000000000000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000000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0000000000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171450</xdr:rowOff>
    </xdr:from>
    <xdr:to>
      <xdr:col>6</xdr:col>
      <xdr:colOff>127000</xdr:colOff>
      <xdr:row>17</xdr:row>
      <xdr:rowOff>107950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F917507-3193-CE56-C081-2B31A04C7451}"/>
            </a:ext>
          </a:extLst>
        </xdr:cNvPr>
        <xdr:cNvCxnSpPr/>
      </xdr:nvCxnSpPr>
      <xdr:spPr>
        <a:xfrm flipV="1">
          <a:off x="5486400" y="2933700"/>
          <a:ext cx="29210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376061</xdr:colOff>
      <xdr:row>17</xdr:row>
      <xdr:rowOff>100894</xdr:rowOff>
    </xdr:from>
    <xdr:to>
      <xdr:col>6</xdr:col>
      <xdr:colOff>1065389</xdr:colOff>
      <xdr:row>22</xdr:row>
      <xdr:rowOff>18344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2FD3673-8370-50EE-A864-DEDC3EB74B13}"/>
            </a:ext>
          </a:extLst>
        </xdr:cNvPr>
        <xdr:cNvSpPr txBox="1"/>
      </xdr:nvSpPr>
      <xdr:spPr>
        <a:xfrm>
          <a:off x="2887839" y="3226505"/>
          <a:ext cx="3299883" cy="8346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</a:t>
          </a:r>
          <a:r>
            <a:rPr lang="en-US" sz="1100" baseline="0"/>
            <a:t> value is smaller than every avg-growth-rate value in column E. Would make sense as a future value but the avg growth rate hasn't reached this value yet as of 2020.</a:t>
          </a:r>
        </a:p>
      </xdr:txBody>
    </xdr:sp>
    <xdr:clientData/>
  </xdr:twoCellAnchor>
  <xdr:twoCellAnchor>
    <xdr:from>
      <xdr:col>7</xdr:col>
      <xdr:colOff>419100</xdr:colOff>
      <xdr:row>16</xdr:row>
      <xdr:rowOff>0</xdr:rowOff>
    </xdr:from>
    <xdr:to>
      <xdr:col>7</xdr:col>
      <xdr:colOff>465667</xdr:colOff>
      <xdr:row>18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6590641-AEBA-40CE-9DF8-1EF743E7A66F}"/>
            </a:ext>
          </a:extLst>
        </xdr:cNvPr>
        <xdr:cNvCxnSpPr/>
      </xdr:nvCxnSpPr>
      <xdr:spPr>
        <a:xfrm flipH="1" flipV="1">
          <a:off x="7277100" y="2935111"/>
          <a:ext cx="46567" cy="3668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7762</xdr:rowOff>
    </xdr:from>
    <xdr:to>
      <xdr:col>13</xdr:col>
      <xdr:colOff>445911</xdr:colOff>
      <xdr:row>22</xdr:row>
      <xdr:rowOff>71261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EC4641-60F7-4ACC-B171-EA6D6A7AD32C}"/>
            </a:ext>
          </a:extLst>
        </xdr:cNvPr>
        <xdr:cNvSpPr txBox="1"/>
      </xdr:nvSpPr>
      <xdr:spPr>
        <a:xfrm>
          <a:off x="6671733" y="3309762"/>
          <a:ext cx="5486400" cy="7972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value is</a:t>
          </a:r>
          <a:r>
            <a:rPr lang="en-US" sz="1100" baseline="0"/>
            <a:t> within the range of the growth-rate-diff values in column F &amp; is in the lower part of the range of values -- is more representative. This value is larger than those of the last three five-year periods (could go against the decreasing overall trend), but works well in representing all of the data in column F.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65F9A-D14D-46AB-9300-45786E4AC225}" name="Table1" displayName="Table1" ref="B2:I52" totalsRowShown="0" headerRowDxfId="11" headerRowBorderDxfId="10">
  <autoFilter ref="B2:I52" xr:uid="{FAE65F9A-D14D-46AB-9300-45786E4AC225}">
    <filterColumn colId="0">
      <filters>
        <filter val="JPN"/>
      </filters>
    </filterColumn>
  </autoFilter>
  <tableColumns count="8">
    <tableColumn id="1" xr3:uid="{148EAF04-15F9-4BB1-9F4F-BF07D07C839C}" name="Country"/>
    <tableColumn id="2" xr3:uid="{D8E982B4-FA17-42C8-9568-F4912D8FB3C9}" name="time period" dataDxfId="9"/>
    <tableColumn id="3" xr3:uid="{8B490DBB-2B3B-46A8-A12B-A62C538E25D2}" name="year"/>
    <tableColumn id="4" xr3:uid="{82056866-56E8-495E-8261-2A28F7F08F56}" name="weight"/>
    <tableColumn id="5" xr3:uid="{1F81E4E0-404C-4AD5-ACE6-F915667D1A77}" name="avg growth rate" dataDxfId="8"/>
    <tableColumn id="6" xr3:uid="{D7FB25A8-8541-4115-BF1A-8B201CF19868}" name="growth rate diff"/>
    <tableColumn id="7" xr3:uid="{60D89AEE-1B9B-44FC-95F8-7AAC3C7EBCEC}" name="weight*growth rate">
      <calculatedColumnFormula>PRODUCT(E3,F3)</calculatedColumnFormula>
    </tableColumn>
    <tableColumn id="8" xr3:uid="{3B70420B-A8EB-4823-8CA5-3B9C65CABBB2}" name="weight*growth rate diff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C48B6-287C-4368-89EE-B35A1436717F}" name="Table2" displayName="Table2" ref="E56:I61" totalsRowShown="0" headerRowDxfId="6">
  <autoFilter ref="E56:I61" xr:uid="{78DC48B6-287C-4368-89EE-B35A1436717F}">
    <filterColumn colId="0">
      <filters>
        <filter val="JPN"/>
      </filters>
    </filterColumn>
  </autoFilter>
  <tableColumns count="5">
    <tableColumn id="1" xr3:uid="{8A426521-BB08-4A67-BC5B-86B6DD9BAB7C}" name="Country"/>
    <tableColumn id="2" xr3:uid="{43E80947-5B40-4BE3-8615-220802D436E7}" name="avg growth rate" dataDxfId="5">
      <calculatedColumnFormula>AVERAGE(F3,F8,F13,F18,F23,F28,F33,F38,F43,F48)</calculatedColumnFormula>
    </tableColumn>
    <tableColumn id="3" xr3:uid="{E011BA72-F03E-4109-83E1-B03E2C189BBE}" name="growth rate diff">
      <calculatedColumnFormula>AVERAGE(G3,G8,G13,G18,G23,G28,G33,G38,G43,G48)</calculatedColumnFormula>
    </tableColumn>
    <tableColumn id="4" xr3:uid="{8A05AC88-7DE0-451E-831D-F83DA0E94FED}" name="weight*growth rate">
      <calculatedColumnFormula>AVERAGE(H3,H8,H13,H18,H23,H28,H33,H38,H43,H48)</calculatedColumnFormula>
    </tableColumn>
    <tableColumn id="5" xr3:uid="{835505C0-44B2-40A4-95BE-46D800AA3C36}" name="weight*growth rate diff">
      <calculatedColumnFormula>AVERAGE(I3,I8,I13,I18,I23,I28,I33,I38,I43,I48)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B45D2E-73D7-4315-9A66-3194496EFF07}" name="Table3" displayName="Table3" ref="K2:N22" totalsRowShown="0" headerRowBorderDxfId="4" tableBorderDxfId="3">
  <autoFilter ref="K2:N22" xr:uid="{9DB45D2E-73D7-4315-9A66-3194496EFF07}"/>
  <tableColumns count="4">
    <tableColumn id="1" xr3:uid="{F97702F5-4C05-49A8-AB6C-4095BA5B8AB7}" name="Country"/>
    <tableColumn id="2" xr3:uid="{EF97A9C7-A1F9-48E2-9B46-7612EAF60038}" name="time period" dataDxfId="2"/>
    <tableColumn id="3" xr3:uid="{8954B4DC-8B70-4E2A-8114-E4C3EEAD01DD}" name="avg growth rate" dataDxfId="1"/>
    <tableColumn id="4" xr3:uid="{F9145001-2EFA-4397-9CBD-266E0F6797E2}" name="growth rate diff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8971-385B-41D0-A5FE-AAD2732C686C}">
  <dimension ref="B1:N17"/>
  <sheetViews>
    <sheetView zoomScale="90" zoomScaleNormal="90" workbookViewId="0">
      <selection activeCell="L17" sqref="L17"/>
    </sheetView>
  </sheetViews>
  <sheetFormatPr defaultRowHeight="14.5"/>
  <cols>
    <col min="2" max="2" width="9.90625" bestFit="1" customWidth="1"/>
    <col min="5" max="5" width="18.54296875" bestFit="1" customWidth="1"/>
    <col min="6" max="6" width="18.81640625" bestFit="1" customWidth="1"/>
    <col min="7" max="7" width="17.7265625" bestFit="1" customWidth="1"/>
    <col min="8" max="8" width="20.36328125" bestFit="1" customWidth="1"/>
    <col min="9" max="9" width="6.90625" customWidth="1"/>
    <col min="11" max="11" width="10.453125" bestFit="1" customWidth="1"/>
    <col min="12" max="12" width="19.81640625" bestFit="1" customWidth="1"/>
    <col min="13" max="13" width="20.81640625" bestFit="1" customWidth="1"/>
    <col min="14" max="14" width="17.7265625" bestFit="1" customWidth="1"/>
  </cols>
  <sheetData>
    <row r="1" spans="2:14">
      <c r="J1" t="s">
        <v>21</v>
      </c>
    </row>
    <row r="2" spans="2:14">
      <c r="B2" s="5" t="s">
        <v>11</v>
      </c>
      <c r="C2" s="5" t="s">
        <v>0</v>
      </c>
      <c r="D2" s="5" t="s">
        <v>1</v>
      </c>
      <c r="E2" s="5" t="s">
        <v>2</v>
      </c>
      <c r="F2" s="5" t="s">
        <v>16</v>
      </c>
      <c r="G2" s="5" t="s">
        <v>17</v>
      </c>
      <c r="H2" s="5" t="s">
        <v>18</v>
      </c>
      <c r="I2" s="18"/>
      <c r="K2" s="5" t="s">
        <v>11</v>
      </c>
      <c r="L2" s="5" t="s">
        <v>2</v>
      </c>
      <c r="M2" s="5" t="s">
        <v>16</v>
      </c>
    </row>
    <row r="3" spans="2:14">
      <c r="B3" s="12" t="s">
        <v>3</v>
      </c>
      <c r="C3">
        <v>1960</v>
      </c>
      <c r="D3">
        <v>0.35</v>
      </c>
      <c r="E3" s="1" t="s">
        <v>19</v>
      </c>
      <c r="F3" t="s">
        <v>19</v>
      </c>
      <c r="G3" t="s">
        <v>19</v>
      </c>
      <c r="H3" s="8" t="s">
        <v>19</v>
      </c>
      <c r="K3" s="12" t="s">
        <v>3</v>
      </c>
      <c r="M3" s="8"/>
    </row>
    <row r="4" spans="2:14">
      <c r="B4" s="13" t="s">
        <v>4</v>
      </c>
      <c r="C4">
        <v>1965</v>
      </c>
      <c r="D4">
        <v>0.4</v>
      </c>
      <c r="E4" s="1" t="s">
        <v>19</v>
      </c>
      <c r="F4" t="s">
        <v>19</v>
      </c>
      <c r="G4" t="s">
        <v>19</v>
      </c>
      <c r="H4" s="9" t="s">
        <v>19</v>
      </c>
      <c r="K4" s="13" t="s">
        <v>4</v>
      </c>
      <c r="M4" s="9"/>
    </row>
    <row r="5" spans="2:14">
      <c r="B5" s="13" t="s">
        <v>5</v>
      </c>
      <c r="C5">
        <v>1970</v>
      </c>
      <c r="D5">
        <v>0.45</v>
      </c>
      <c r="E5" s="2">
        <v>1.2133481844826599</v>
      </c>
      <c r="F5" t="s">
        <v>19</v>
      </c>
      <c r="G5" s="4">
        <f t="shared" ref="G5:G14" si="0">PRODUCT(D5,E5)</f>
        <v>0.54600668301719701</v>
      </c>
      <c r="H5" s="9" t="s">
        <v>19</v>
      </c>
      <c r="K5" s="13" t="s">
        <v>5</v>
      </c>
      <c r="M5" s="9"/>
    </row>
    <row r="6" spans="2:14">
      <c r="B6" s="13" t="s">
        <v>6</v>
      </c>
      <c r="C6">
        <v>1975</v>
      </c>
      <c r="D6">
        <v>0.5</v>
      </c>
      <c r="E6" s="2">
        <v>1.0949021345351999</v>
      </c>
      <c r="F6" s="4">
        <f>E5-E6</f>
        <v>0.11844604994746</v>
      </c>
      <c r="G6" s="4">
        <f t="shared" si="0"/>
        <v>0.54745106726759996</v>
      </c>
      <c r="H6" s="10">
        <f>D6*F6</f>
        <v>5.9223024973729999E-2</v>
      </c>
      <c r="I6" s="7"/>
      <c r="K6" s="13" t="s">
        <v>6</v>
      </c>
      <c r="M6" s="9"/>
    </row>
    <row r="7" spans="2:14">
      <c r="B7" s="13" t="s">
        <v>7</v>
      </c>
      <c r="C7">
        <v>1980</v>
      </c>
      <c r="D7">
        <v>0.55000000000000004</v>
      </c>
      <c r="E7" s="2">
        <v>1.0371378306005301</v>
      </c>
      <c r="F7" s="4">
        <f t="shared" ref="F7:F13" si="1">E6-E7</f>
        <v>5.7764303934669803E-2</v>
      </c>
      <c r="G7" s="4">
        <f t="shared" si="0"/>
        <v>0.57042580683029165</v>
      </c>
      <c r="H7" s="10">
        <f t="shared" ref="H7:H14" si="2">D7*F7</f>
        <v>3.1770367164068392E-2</v>
      </c>
      <c r="I7" s="7"/>
      <c r="K7" s="13" t="s">
        <v>7</v>
      </c>
      <c r="M7" s="9"/>
    </row>
    <row r="8" spans="2:14">
      <c r="B8" s="13" t="s">
        <v>8</v>
      </c>
      <c r="C8">
        <v>1985</v>
      </c>
      <c r="D8">
        <v>0.6</v>
      </c>
      <c r="E8" s="2">
        <v>0.96309921619588301</v>
      </c>
      <c r="F8" s="4">
        <f t="shared" si="1"/>
        <v>7.4038614404647096E-2</v>
      </c>
      <c r="G8" s="4">
        <f t="shared" si="0"/>
        <v>0.57785952971752974</v>
      </c>
      <c r="H8" s="10">
        <f t="shared" si="2"/>
        <v>4.4423168642788259E-2</v>
      </c>
      <c r="I8" s="7"/>
      <c r="K8" s="13" t="s">
        <v>8</v>
      </c>
      <c r="M8" s="9"/>
    </row>
    <row r="9" spans="2:14">
      <c r="B9" s="13" t="s">
        <v>9</v>
      </c>
      <c r="C9">
        <v>1990</v>
      </c>
      <c r="D9">
        <v>0.65</v>
      </c>
      <c r="E9" s="2">
        <v>0.85859637188022997</v>
      </c>
      <c r="F9" s="4">
        <f t="shared" si="1"/>
        <v>0.10450284431565304</v>
      </c>
      <c r="G9" s="4">
        <f t="shared" si="0"/>
        <v>0.55808764172214953</v>
      </c>
      <c r="H9" s="10">
        <f t="shared" si="2"/>
        <v>6.7926848805174481E-2</v>
      </c>
      <c r="I9" s="7"/>
      <c r="K9" s="13" t="s">
        <v>9</v>
      </c>
      <c r="M9" s="9"/>
    </row>
    <row r="10" spans="2:14">
      <c r="B10" s="13" t="s">
        <v>10</v>
      </c>
      <c r="C10">
        <v>1995</v>
      </c>
      <c r="D10">
        <v>0.7</v>
      </c>
      <c r="E10" s="2">
        <v>0.77211100789779896</v>
      </c>
      <c r="F10" s="4">
        <f t="shared" si="1"/>
        <v>8.6485363982431007E-2</v>
      </c>
      <c r="G10" s="4">
        <f t="shared" si="0"/>
        <v>0.5404777055284592</v>
      </c>
      <c r="H10" s="10">
        <f t="shared" si="2"/>
        <v>6.0539754787701704E-2</v>
      </c>
      <c r="I10" s="7"/>
      <c r="K10" s="13" t="s">
        <v>10</v>
      </c>
      <c r="M10" s="9"/>
    </row>
    <row r="11" spans="2:14">
      <c r="B11" s="13" t="s">
        <v>12</v>
      </c>
      <c r="C11">
        <v>2000</v>
      </c>
      <c r="D11">
        <v>0.75</v>
      </c>
      <c r="E11" s="2">
        <v>0.69949199583507604</v>
      </c>
      <c r="F11" s="4">
        <f t="shared" si="1"/>
        <v>7.2619012062722921E-2</v>
      </c>
      <c r="G11" s="4">
        <f t="shared" si="0"/>
        <v>0.52461899687630709</v>
      </c>
      <c r="H11" s="10">
        <f t="shared" si="2"/>
        <v>5.4464259047042191E-2</v>
      </c>
      <c r="I11" s="7"/>
      <c r="K11" s="13" t="s">
        <v>12</v>
      </c>
      <c r="M11" s="9"/>
    </row>
    <row r="12" spans="2:14">
      <c r="B12" s="13" t="s">
        <v>14</v>
      </c>
      <c r="C12">
        <v>2005</v>
      </c>
      <c r="D12">
        <v>0.8</v>
      </c>
      <c r="E12" s="2">
        <v>0.66397192446982101</v>
      </c>
      <c r="F12" s="4">
        <f t="shared" si="1"/>
        <v>3.5520071365255035E-2</v>
      </c>
      <c r="G12" s="4">
        <f t="shared" si="0"/>
        <v>0.53117753957585678</v>
      </c>
      <c r="H12" s="10">
        <f t="shared" si="2"/>
        <v>2.8416057092204031E-2</v>
      </c>
      <c r="I12" s="7"/>
      <c r="K12" s="13" t="s">
        <v>14</v>
      </c>
      <c r="M12" s="9"/>
    </row>
    <row r="13" spans="2:14">
      <c r="B13" s="13" t="s">
        <v>13</v>
      </c>
      <c r="C13">
        <v>2010</v>
      </c>
      <c r="D13">
        <v>0.85</v>
      </c>
      <c r="E13" s="2">
        <v>0.64371226486581401</v>
      </c>
      <c r="F13" s="4">
        <f t="shared" si="1"/>
        <v>2.0259659604006997E-2</v>
      </c>
      <c r="G13" s="4">
        <f t="shared" si="0"/>
        <v>0.54715542513594184</v>
      </c>
      <c r="H13" s="10">
        <f t="shared" si="2"/>
        <v>1.7220710663405945E-2</v>
      </c>
      <c r="I13" s="7"/>
      <c r="K13" s="13" t="s">
        <v>13</v>
      </c>
      <c r="M13" s="9"/>
    </row>
    <row r="14" spans="2:14" ht="15" thickBot="1">
      <c r="B14" s="13" t="s">
        <v>15</v>
      </c>
      <c r="C14">
        <v>2015</v>
      </c>
      <c r="D14">
        <v>0.9</v>
      </c>
      <c r="E14" s="3">
        <v>0.60393143107571001</v>
      </c>
      <c r="F14" s="4">
        <f>E13-E14</f>
        <v>3.9780833790103998E-2</v>
      </c>
      <c r="G14" s="4">
        <f t="shared" si="0"/>
        <v>0.54353828796813908</v>
      </c>
      <c r="H14" s="10">
        <f t="shared" si="2"/>
        <v>3.5802750411093598E-2</v>
      </c>
      <c r="I14" s="7"/>
      <c r="K14" s="16" t="s">
        <v>15</v>
      </c>
      <c r="L14" s="17">
        <v>0.60393143107571001</v>
      </c>
      <c r="M14" s="19">
        <v>3.9780833790103998E-2</v>
      </c>
      <c r="N14" s="4"/>
    </row>
    <row r="15" spans="2:14">
      <c r="B15" s="14"/>
      <c r="C15" s="6">
        <v>2020</v>
      </c>
      <c r="D15" s="6"/>
      <c r="E15" s="6"/>
      <c r="F15" s="6"/>
      <c r="G15" s="6"/>
      <c r="H15" s="11"/>
      <c r="K15" s="13" t="s">
        <v>22</v>
      </c>
      <c r="L15" s="4">
        <f>L14-M15</f>
        <v>0.55951065978824244</v>
      </c>
      <c r="M15" s="10">
        <v>4.4420771287467624E-2</v>
      </c>
      <c r="N15" s="4"/>
    </row>
    <row r="16" spans="2:14">
      <c r="B16" s="15" t="s">
        <v>20</v>
      </c>
      <c r="E16" s="4">
        <f>AVERAGE(E5:E14)</f>
        <v>0.85503023618387208</v>
      </c>
      <c r="F16" s="7">
        <f>AVERAGE(F6:F14)</f>
        <v>6.7712972600772206E-2</v>
      </c>
      <c r="G16" s="4">
        <f>AVERAGE(G5:G14)</f>
        <v>0.54867986836394711</v>
      </c>
      <c r="H16" s="10">
        <f>AVERAGE(H6:H14)</f>
        <v>4.4420771287467624E-2</v>
      </c>
      <c r="I16" s="7"/>
      <c r="K16" s="13" t="s">
        <v>24</v>
      </c>
      <c r="L16" s="4">
        <f t="shared" ref="L16:L17" si="3">L15-M16</f>
        <v>0.51508988850077486</v>
      </c>
      <c r="M16" s="10">
        <v>4.4420771287467624E-2</v>
      </c>
      <c r="N16" s="4"/>
    </row>
    <row r="17" spans="11:14">
      <c r="K17" s="14" t="s">
        <v>23</v>
      </c>
      <c r="L17" s="21">
        <f t="shared" si="3"/>
        <v>0.47066911721330723</v>
      </c>
      <c r="M17" s="20">
        <v>4.4420771287467624E-2</v>
      </c>
      <c r="N17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F20B-3562-42DD-A52E-81963C77732D}">
  <dimension ref="B1:O61"/>
  <sheetViews>
    <sheetView tabSelected="1" zoomScale="90" zoomScaleNormal="90" workbookViewId="0">
      <selection activeCell="A3" sqref="A3"/>
    </sheetView>
  </sheetViews>
  <sheetFormatPr defaultRowHeight="14.5"/>
  <cols>
    <col min="2" max="2" width="6.08984375" customWidth="1"/>
    <col min="3" max="3" width="10.453125" customWidth="1"/>
    <col min="5" max="5" width="6.6328125" customWidth="1"/>
    <col min="6" max="6" width="22.26953125" style="24" customWidth="1"/>
    <col min="7" max="8" width="20.36328125" bestFit="1" customWidth="1"/>
    <col min="9" max="9" width="22.90625" bestFit="1" customWidth="1"/>
    <col min="10" max="10" width="6.90625" customWidth="1"/>
    <col min="11" max="11" width="6.6328125" customWidth="1"/>
    <col min="12" max="12" width="10.36328125" customWidth="1"/>
    <col min="13" max="13" width="20.36328125" style="24" bestFit="1" customWidth="1"/>
    <col min="14" max="14" width="20.81640625" style="24" bestFit="1" customWidth="1"/>
    <col min="15" max="15" width="17.7265625" bestFit="1" customWidth="1"/>
  </cols>
  <sheetData>
    <row r="1" spans="2:15">
      <c r="K1" t="s">
        <v>30</v>
      </c>
    </row>
    <row r="2" spans="2:15">
      <c r="B2" s="5" t="s">
        <v>25</v>
      </c>
      <c r="C2" s="5" t="s">
        <v>11</v>
      </c>
      <c r="D2" s="5" t="s">
        <v>0</v>
      </c>
      <c r="E2" s="5" t="s">
        <v>1</v>
      </c>
      <c r="F2" s="25" t="s">
        <v>2</v>
      </c>
      <c r="G2" s="5" t="s">
        <v>16</v>
      </c>
      <c r="H2" s="5" t="s">
        <v>17</v>
      </c>
      <c r="I2" s="5" t="s">
        <v>18</v>
      </c>
      <c r="J2" s="18"/>
      <c r="K2" s="5" t="s">
        <v>25</v>
      </c>
      <c r="L2" s="5" t="s">
        <v>11</v>
      </c>
      <c r="M2" s="25" t="s">
        <v>2</v>
      </c>
      <c r="N2" s="25" t="s">
        <v>16</v>
      </c>
    </row>
    <row r="3" spans="2:15">
      <c r="B3" t="s">
        <v>31</v>
      </c>
      <c r="C3" s="13" t="s">
        <v>5</v>
      </c>
      <c r="D3">
        <v>1970</v>
      </c>
      <c r="E3">
        <v>0.45</v>
      </c>
      <c r="F3" s="23">
        <v>0.39479684332875897</v>
      </c>
      <c r="G3" t="s">
        <v>19</v>
      </c>
      <c r="H3" s="4">
        <f t="shared" ref="H3:H52" si="0">PRODUCT(E3,F3)</f>
        <v>0.17765857949794153</v>
      </c>
      <c r="I3" s="9" t="s">
        <v>19</v>
      </c>
      <c r="K3" t="s">
        <v>31</v>
      </c>
      <c r="L3" s="13" t="s">
        <v>15</v>
      </c>
      <c r="M3" s="24">
        <v>-0.206100686754007</v>
      </c>
      <c r="N3" s="27">
        <v>3.0302239461640013E-2</v>
      </c>
    </row>
    <row r="4" spans="2:15" hidden="1">
      <c r="B4" t="s">
        <v>26</v>
      </c>
      <c r="C4" s="13" t="s">
        <v>5</v>
      </c>
      <c r="D4">
        <v>1970</v>
      </c>
      <c r="E4">
        <v>0.45</v>
      </c>
      <c r="F4" s="24">
        <v>0.453643484395371</v>
      </c>
      <c r="G4" t="s">
        <v>19</v>
      </c>
      <c r="H4" s="4">
        <f t="shared" si="0"/>
        <v>0.20413956797791696</v>
      </c>
      <c r="I4" s="9" t="s">
        <v>19</v>
      </c>
      <c r="J4" s="7"/>
      <c r="K4" t="s">
        <v>26</v>
      </c>
      <c r="L4" s="13" t="s">
        <v>15</v>
      </c>
      <c r="M4" s="24">
        <v>0.95782239065375696</v>
      </c>
      <c r="N4" s="27">
        <v>-0.79044924791301496</v>
      </c>
    </row>
    <row r="5" spans="2:15" hidden="1">
      <c r="B5" t="s">
        <v>27</v>
      </c>
      <c r="C5" s="13" t="s">
        <v>5</v>
      </c>
      <c r="D5">
        <v>1970</v>
      </c>
      <c r="E5">
        <v>0.45</v>
      </c>
      <c r="F5" s="24">
        <v>0.655365599521883</v>
      </c>
      <c r="G5" t="s">
        <v>19</v>
      </c>
      <c r="H5" s="4">
        <f t="shared" si="0"/>
        <v>0.29491451978484734</v>
      </c>
      <c r="I5" s="9" t="s">
        <v>19</v>
      </c>
      <c r="J5" s="7"/>
      <c r="K5" t="s">
        <v>27</v>
      </c>
      <c r="L5" s="13" t="s">
        <v>15</v>
      </c>
      <c r="M5" s="24">
        <v>0.50142751524717699</v>
      </c>
      <c r="N5" s="27">
        <v>0.14972977773176099</v>
      </c>
    </row>
    <row r="6" spans="2:15" hidden="1">
      <c r="B6" t="s">
        <v>28</v>
      </c>
      <c r="C6" s="13" t="s">
        <v>5</v>
      </c>
      <c r="D6">
        <v>1970</v>
      </c>
      <c r="E6">
        <v>0.45</v>
      </c>
      <c r="F6" s="24">
        <v>0.87019991442587596</v>
      </c>
      <c r="G6" t="s">
        <v>19</v>
      </c>
      <c r="H6" s="4">
        <f t="shared" si="0"/>
        <v>0.39158996149164421</v>
      </c>
      <c r="I6" s="9" t="s">
        <v>19</v>
      </c>
      <c r="J6" s="7"/>
      <c r="K6" t="s">
        <v>28</v>
      </c>
      <c r="L6" s="13" t="s">
        <v>15</v>
      </c>
      <c r="M6" s="24">
        <v>0.478877277360716</v>
      </c>
      <c r="N6" s="27">
        <v>-0.40079827519114281</v>
      </c>
    </row>
    <row r="7" spans="2:15" ht="15" hidden="1" thickBot="1">
      <c r="B7" s="11" t="s">
        <v>29</v>
      </c>
      <c r="C7" s="13" t="s">
        <v>5</v>
      </c>
      <c r="D7">
        <v>1970</v>
      </c>
      <c r="E7">
        <v>0.45</v>
      </c>
      <c r="F7" s="24">
        <v>0.95324714188361803</v>
      </c>
      <c r="G7" t="s">
        <v>19</v>
      </c>
      <c r="H7" s="4">
        <f t="shared" si="0"/>
        <v>0.42896121384762814</v>
      </c>
      <c r="I7" s="9" t="s">
        <v>19</v>
      </c>
      <c r="J7" s="7"/>
      <c r="K7" s="29" t="s">
        <v>29</v>
      </c>
      <c r="L7" s="16" t="s">
        <v>15</v>
      </c>
      <c r="M7" s="30">
        <v>0.29845123934512302</v>
      </c>
      <c r="N7" s="31">
        <v>0.142184198830208</v>
      </c>
    </row>
    <row r="8" spans="2:15">
      <c r="B8" t="s">
        <v>31</v>
      </c>
      <c r="C8" s="13" t="s">
        <v>6</v>
      </c>
      <c r="D8">
        <v>1975</v>
      </c>
      <c r="E8">
        <v>0.5</v>
      </c>
      <c r="F8" s="23">
        <v>0.26831698554617101</v>
      </c>
      <c r="G8" s="4">
        <f>F3-F8</f>
        <v>0.12647985778258797</v>
      </c>
      <c r="H8" s="4">
        <f t="shared" si="0"/>
        <v>0.1341584927730855</v>
      </c>
      <c r="I8" s="10">
        <f>E8*G8</f>
        <v>6.3239928891293984E-2</v>
      </c>
      <c r="J8" s="7"/>
      <c r="K8" t="s">
        <v>31</v>
      </c>
      <c r="L8" s="13" t="s">
        <v>22</v>
      </c>
      <c r="M8" s="24">
        <f>M3-N8</f>
        <v>-0.25047145465338533</v>
      </c>
      <c r="N8" s="27">
        <v>4.4370767899378327E-2</v>
      </c>
    </row>
    <row r="9" spans="2:15" hidden="1">
      <c r="B9" t="s">
        <v>26</v>
      </c>
      <c r="C9" s="13" t="s">
        <v>6</v>
      </c>
      <c r="D9">
        <v>1975</v>
      </c>
      <c r="E9">
        <v>0.5</v>
      </c>
      <c r="F9" s="24">
        <v>0.40115721484253197</v>
      </c>
      <c r="G9" s="4">
        <f t="shared" ref="G9:G52" si="1">F4-F9</f>
        <v>5.2486269552839027E-2</v>
      </c>
      <c r="H9" s="4">
        <f t="shared" si="0"/>
        <v>0.20057860742126599</v>
      </c>
      <c r="I9" s="10">
        <f t="shared" ref="I9:I52" si="2">E9*G9</f>
        <v>2.6243134776419513E-2</v>
      </c>
      <c r="J9" s="7"/>
      <c r="K9" t="s">
        <v>26</v>
      </c>
      <c r="L9" s="13" t="s">
        <v>22</v>
      </c>
      <c r="M9" s="24">
        <v>0.4081544048243867</v>
      </c>
      <c r="N9" s="27"/>
    </row>
    <row r="10" spans="2:15" hidden="1">
      <c r="B10" t="s">
        <v>27</v>
      </c>
      <c r="C10" s="13" t="s">
        <v>6</v>
      </c>
      <c r="D10">
        <v>1975</v>
      </c>
      <c r="E10">
        <v>0.5</v>
      </c>
      <c r="F10" s="24">
        <v>0.60355661555775397</v>
      </c>
      <c r="G10" s="4">
        <f t="shared" si="1"/>
        <v>5.180898396412903E-2</v>
      </c>
      <c r="H10" s="4">
        <f t="shared" si="0"/>
        <v>0.30177830777887699</v>
      </c>
      <c r="I10" s="10">
        <f t="shared" si="2"/>
        <v>2.5904491982064515E-2</v>
      </c>
      <c r="J10" s="7"/>
      <c r="K10" t="s">
        <v>27</v>
      </c>
      <c r="L10" s="13" t="s">
        <v>22</v>
      </c>
      <c r="M10" s="24">
        <v>0.62273054191183497</v>
      </c>
      <c r="N10" s="27"/>
    </row>
    <row r="11" spans="2:15" hidden="1">
      <c r="B11" t="s">
        <v>28</v>
      </c>
      <c r="C11" s="13" t="s">
        <v>6</v>
      </c>
      <c r="D11">
        <v>1975</v>
      </c>
      <c r="E11">
        <v>0.5</v>
      </c>
      <c r="F11" s="24">
        <v>0.76773135467839304</v>
      </c>
      <c r="G11" s="4">
        <f t="shared" si="1"/>
        <v>0.10246855974748292</v>
      </c>
      <c r="H11" s="4">
        <f t="shared" si="0"/>
        <v>0.38386567733919652</v>
      </c>
      <c r="I11" s="10">
        <f t="shared" si="2"/>
        <v>5.1234279873741462E-2</v>
      </c>
      <c r="J11" s="7"/>
      <c r="K11" t="s">
        <v>28</v>
      </c>
      <c r="L11" s="13" t="s">
        <v>22</v>
      </c>
      <c r="M11" s="24">
        <f>M6-N11</f>
        <v>0.46347429253512706</v>
      </c>
      <c r="N11" s="27">
        <v>1.5402984825588932E-2</v>
      </c>
    </row>
    <row r="12" spans="2:15" hidden="1">
      <c r="B12" s="11" t="s">
        <v>29</v>
      </c>
      <c r="C12" s="13" t="s">
        <v>6</v>
      </c>
      <c r="D12">
        <v>1975</v>
      </c>
      <c r="E12">
        <v>0.5</v>
      </c>
      <c r="F12" s="24">
        <v>0.85711258985184202</v>
      </c>
      <c r="G12" s="4">
        <f t="shared" si="1"/>
        <v>9.613455203177601E-2</v>
      </c>
      <c r="H12" s="4">
        <f t="shared" si="0"/>
        <v>0.42855629492592101</v>
      </c>
      <c r="I12" s="10">
        <f t="shared" si="2"/>
        <v>4.8067276015888005E-2</v>
      </c>
      <c r="J12" s="7"/>
      <c r="K12" s="11" t="s">
        <v>29</v>
      </c>
      <c r="L12" s="14" t="s">
        <v>22</v>
      </c>
      <c r="M12" s="26">
        <f>M7-N12</f>
        <v>0.2481010224139181</v>
      </c>
      <c r="N12" s="28">
        <v>5.0350216931204915E-2</v>
      </c>
      <c r="O12" s="4"/>
    </row>
    <row r="13" spans="2:15">
      <c r="B13" t="s">
        <v>31</v>
      </c>
      <c r="C13" s="13" t="s">
        <v>7</v>
      </c>
      <c r="D13">
        <v>1980</v>
      </c>
      <c r="E13">
        <v>0.55000000000000004</v>
      </c>
      <c r="F13" s="23">
        <v>0.186713727739996</v>
      </c>
      <c r="G13" s="4">
        <f t="shared" si="1"/>
        <v>8.1603257806175E-2</v>
      </c>
      <c r="H13" s="4">
        <f t="shared" si="0"/>
        <v>0.10269255025699781</v>
      </c>
      <c r="I13" s="10">
        <f t="shared" si="2"/>
        <v>4.4881791793396256E-2</v>
      </c>
      <c r="K13" t="s">
        <v>31</v>
      </c>
      <c r="L13" s="13" t="s">
        <v>24</v>
      </c>
      <c r="M13" s="24">
        <f>M8-N13</f>
        <v>-0.29484222255276366</v>
      </c>
      <c r="N13" s="27">
        <v>4.4370767899378327E-2</v>
      </c>
      <c r="O13" s="4"/>
    </row>
    <row r="14" spans="2:15" hidden="1">
      <c r="B14" t="s">
        <v>26</v>
      </c>
      <c r="C14" s="13" t="s">
        <v>7</v>
      </c>
      <c r="D14">
        <v>1980</v>
      </c>
      <c r="E14">
        <v>0.55000000000000004</v>
      </c>
      <c r="F14" s="24">
        <v>0.32248825802570502</v>
      </c>
      <c r="G14" s="4">
        <f t="shared" si="1"/>
        <v>7.8668956816826952E-2</v>
      </c>
      <c r="H14" s="4">
        <f t="shared" si="0"/>
        <v>0.17736854191413778</v>
      </c>
      <c r="I14" s="10">
        <f t="shared" si="2"/>
        <v>4.326792624925483E-2</v>
      </c>
      <c r="J14" s="7"/>
      <c r="K14" t="s">
        <v>26</v>
      </c>
      <c r="L14" s="13" t="s">
        <v>24</v>
      </c>
      <c r="M14" s="24">
        <v>0.4081544048243867</v>
      </c>
      <c r="N14" s="27"/>
      <c r="O14" s="4"/>
    </row>
    <row r="15" spans="2:15" hidden="1">
      <c r="B15" t="s">
        <v>27</v>
      </c>
      <c r="C15" s="13" t="s">
        <v>7</v>
      </c>
      <c r="D15">
        <v>1980</v>
      </c>
      <c r="E15">
        <v>0.55000000000000004</v>
      </c>
      <c r="F15" s="24">
        <v>0.61088272603989802</v>
      </c>
      <c r="G15" s="4">
        <f t="shared" si="1"/>
        <v>-7.3261104821440437E-3</v>
      </c>
      <c r="H15" s="4">
        <f t="shared" si="0"/>
        <v>0.33598549932194394</v>
      </c>
      <c r="I15" s="10">
        <f t="shared" si="2"/>
        <v>-4.0293607651792247E-3</v>
      </c>
      <c r="K15" t="s">
        <v>27</v>
      </c>
      <c r="L15" s="13" t="s">
        <v>24</v>
      </c>
      <c r="M15" s="24">
        <v>0.62273054191183497</v>
      </c>
      <c r="N15" s="27"/>
      <c r="O15" s="4"/>
    </row>
    <row r="16" spans="2:15" hidden="1">
      <c r="B16" t="s">
        <v>28</v>
      </c>
      <c r="C16" s="13" t="s">
        <v>7</v>
      </c>
      <c r="D16">
        <v>1980</v>
      </c>
      <c r="E16">
        <v>0.55000000000000004</v>
      </c>
      <c r="F16" s="24">
        <v>1.00626932768427</v>
      </c>
      <c r="G16" s="4">
        <f t="shared" si="1"/>
        <v>-0.23853797300587698</v>
      </c>
      <c r="H16" s="4">
        <f t="shared" si="0"/>
        <v>0.55344813022634853</v>
      </c>
      <c r="I16" s="10">
        <f t="shared" si="2"/>
        <v>-0.13119588515323236</v>
      </c>
      <c r="K16" t="s">
        <v>28</v>
      </c>
      <c r="L16" s="13" t="s">
        <v>24</v>
      </c>
      <c r="M16" s="24">
        <f>M11-N16</f>
        <v>0.44807130770953812</v>
      </c>
      <c r="N16" s="27">
        <v>1.5402984825588932E-2</v>
      </c>
    </row>
    <row r="17" spans="2:14" hidden="1">
      <c r="B17" s="11" t="s">
        <v>29</v>
      </c>
      <c r="C17" s="13" t="s">
        <v>7</v>
      </c>
      <c r="D17">
        <v>1980</v>
      </c>
      <c r="E17">
        <v>0.55000000000000004</v>
      </c>
      <c r="F17" s="24">
        <v>0.76898840064979601</v>
      </c>
      <c r="G17" s="4">
        <f t="shared" si="1"/>
        <v>8.812418920204601E-2</v>
      </c>
      <c r="H17" s="4">
        <f t="shared" si="0"/>
        <v>0.42294362035738786</v>
      </c>
      <c r="I17" s="10">
        <f t="shared" si="2"/>
        <v>4.846830406112531E-2</v>
      </c>
      <c r="K17" s="11" t="s">
        <v>29</v>
      </c>
      <c r="L17" s="14" t="s">
        <v>24</v>
      </c>
      <c r="M17" s="26">
        <f>M12-N17</f>
        <v>0.19775080548271318</v>
      </c>
      <c r="N17" s="28">
        <v>5.0350216931204915E-2</v>
      </c>
    </row>
    <row r="18" spans="2:14">
      <c r="B18" t="s">
        <v>31</v>
      </c>
      <c r="C18" s="13" t="s">
        <v>8</v>
      </c>
      <c r="D18">
        <v>1985</v>
      </c>
      <c r="E18">
        <v>0.6</v>
      </c>
      <c r="F18" s="23">
        <v>0.116143743696784</v>
      </c>
      <c r="G18" s="4">
        <f t="shared" si="1"/>
        <v>7.0569984043212006E-2</v>
      </c>
      <c r="H18" s="4">
        <f t="shared" si="0"/>
        <v>6.9686246218070402E-2</v>
      </c>
      <c r="I18" s="10">
        <f t="shared" si="2"/>
        <v>4.2341990425927199E-2</v>
      </c>
      <c r="K18" t="s">
        <v>31</v>
      </c>
      <c r="L18" s="13" t="s">
        <v>23</v>
      </c>
      <c r="M18" s="24">
        <f>M13-N18</f>
        <v>-0.33921299045214198</v>
      </c>
      <c r="N18" s="27">
        <v>4.4370767899378327E-2</v>
      </c>
    </row>
    <row r="19" spans="2:14" hidden="1">
      <c r="B19" t="s">
        <v>26</v>
      </c>
      <c r="C19" s="13" t="s">
        <v>8</v>
      </c>
      <c r="D19">
        <v>1985</v>
      </c>
      <c r="E19">
        <v>0.6</v>
      </c>
      <c r="F19" s="24">
        <v>0.34007306954334798</v>
      </c>
      <c r="G19" s="4">
        <f t="shared" si="1"/>
        <v>-1.7584811517642962E-2</v>
      </c>
      <c r="H19" s="4">
        <f t="shared" si="0"/>
        <v>0.20404384172600878</v>
      </c>
      <c r="I19" s="10">
        <f t="shared" si="2"/>
        <v>-1.0550886910585778E-2</v>
      </c>
      <c r="K19" t="s">
        <v>26</v>
      </c>
      <c r="L19" s="13" t="s">
        <v>23</v>
      </c>
      <c r="M19" s="24">
        <v>0.4081544048243867</v>
      </c>
      <c r="N19" s="27"/>
    </row>
    <row r="20" spans="2:14" hidden="1">
      <c r="B20" t="s">
        <v>27</v>
      </c>
      <c r="C20" s="13" t="s">
        <v>8</v>
      </c>
      <c r="D20">
        <v>1985</v>
      </c>
      <c r="E20">
        <v>0.6</v>
      </c>
      <c r="F20" s="24">
        <v>0.616904216572433</v>
      </c>
      <c r="G20" s="4">
        <f t="shared" si="1"/>
        <v>-6.0214905325349788E-3</v>
      </c>
      <c r="H20" s="4">
        <f t="shared" si="0"/>
        <v>0.37014252994345981</v>
      </c>
      <c r="I20" s="10">
        <f t="shared" si="2"/>
        <v>-3.6128943195209871E-3</v>
      </c>
      <c r="K20" t="s">
        <v>27</v>
      </c>
      <c r="L20" s="13" t="s">
        <v>23</v>
      </c>
      <c r="M20" s="24">
        <v>0.62273054191183497</v>
      </c>
      <c r="N20" s="27"/>
    </row>
    <row r="21" spans="2:14" hidden="1">
      <c r="B21" t="s">
        <v>28</v>
      </c>
      <c r="C21" s="13" t="s">
        <v>8</v>
      </c>
      <c r="D21">
        <v>1985</v>
      </c>
      <c r="E21">
        <v>0.6</v>
      </c>
      <c r="F21" s="24">
        <v>0.844830278187642</v>
      </c>
      <c r="G21" s="4">
        <f t="shared" si="1"/>
        <v>0.16143904949662802</v>
      </c>
      <c r="H21" s="4">
        <f t="shared" si="0"/>
        <v>0.50689816691258516</v>
      </c>
      <c r="I21" s="10">
        <f t="shared" si="2"/>
        <v>9.6863429697976802E-2</v>
      </c>
      <c r="K21" t="s">
        <v>28</v>
      </c>
      <c r="L21" s="13" t="s">
        <v>23</v>
      </c>
      <c r="M21" s="24">
        <f>M16-N21</f>
        <v>0.43266832288394919</v>
      </c>
      <c r="N21" s="27">
        <v>1.5402984825588932E-2</v>
      </c>
    </row>
    <row r="22" spans="2:14" hidden="1">
      <c r="B22" s="11" t="s">
        <v>29</v>
      </c>
      <c r="C22" s="13" t="s">
        <v>8</v>
      </c>
      <c r="D22">
        <v>1985</v>
      </c>
      <c r="E22">
        <v>0.6</v>
      </c>
      <c r="F22" s="24">
        <v>0.68323981427302904</v>
      </c>
      <c r="G22" s="4">
        <f t="shared" si="1"/>
        <v>8.5748586376766966E-2</v>
      </c>
      <c r="H22" s="4">
        <f t="shared" si="0"/>
        <v>0.40994388856381742</v>
      </c>
      <c r="I22" s="10">
        <f t="shared" si="2"/>
        <v>5.1449151826060177E-2</v>
      </c>
      <c r="K22" s="9" t="s">
        <v>29</v>
      </c>
      <c r="L22" s="13" t="s">
        <v>23</v>
      </c>
      <c r="M22" s="24">
        <f>M17-N22</f>
        <v>0.14740058855150825</v>
      </c>
      <c r="N22" s="27">
        <v>5.0350216931204915E-2</v>
      </c>
    </row>
    <row r="23" spans="2:14">
      <c r="B23" t="s">
        <v>31</v>
      </c>
      <c r="C23" s="13" t="s">
        <v>9</v>
      </c>
      <c r="D23">
        <v>1990</v>
      </c>
      <c r="E23">
        <v>0.65</v>
      </c>
      <c r="F23" s="23">
        <v>6.3272750454225493E-2</v>
      </c>
      <c r="G23" s="4">
        <f t="shared" si="1"/>
        <v>5.2870993242558506E-2</v>
      </c>
      <c r="H23" s="4">
        <f t="shared" si="0"/>
        <v>4.1127287795246575E-2</v>
      </c>
      <c r="I23" s="10">
        <f t="shared" si="2"/>
        <v>3.4366145607663032E-2</v>
      </c>
    </row>
    <row r="24" spans="2:14" hidden="1">
      <c r="B24" t="s">
        <v>26</v>
      </c>
      <c r="C24" s="13" t="s">
        <v>9</v>
      </c>
      <c r="D24">
        <v>1990</v>
      </c>
      <c r="E24">
        <v>0.65</v>
      </c>
      <c r="F24" s="24">
        <v>0.35531577947564902</v>
      </c>
      <c r="G24" s="4">
        <f t="shared" si="1"/>
        <v>-1.5242709932301035E-2</v>
      </c>
      <c r="H24" s="4">
        <f t="shared" si="0"/>
        <v>0.23095525665917188</v>
      </c>
      <c r="I24" s="10">
        <f t="shared" si="2"/>
        <v>-9.9077614559956728E-3</v>
      </c>
    </row>
    <row r="25" spans="2:14" hidden="1">
      <c r="B25" t="s">
        <v>27</v>
      </c>
      <c r="C25" s="13" t="s">
        <v>9</v>
      </c>
      <c r="D25">
        <v>1990</v>
      </c>
      <c r="E25">
        <v>0.65</v>
      </c>
      <c r="F25" s="24">
        <v>0.66174089201595698</v>
      </c>
      <c r="G25" s="4">
        <f t="shared" si="1"/>
        <v>-4.4836675443523988E-2</v>
      </c>
      <c r="H25" s="4">
        <f t="shared" si="0"/>
        <v>0.43013157981037203</v>
      </c>
      <c r="I25" s="10">
        <f t="shared" si="2"/>
        <v>-2.9143839038290594E-2</v>
      </c>
    </row>
    <row r="26" spans="2:14" hidden="1">
      <c r="B26" t="s">
        <v>28</v>
      </c>
      <c r="C26" s="13" t="s">
        <v>9</v>
      </c>
      <c r="D26">
        <v>1990</v>
      </c>
      <c r="E26">
        <v>0.65</v>
      </c>
      <c r="F26" s="24">
        <v>0.62498020566758805</v>
      </c>
      <c r="G26" s="4">
        <f t="shared" si="1"/>
        <v>0.21985007252005395</v>
      </c>
      <c r="H26" s="4">
        <f t="shared" si="0"/>
        <v>0.40623713368393227</v>
      </c>
      <c r="I26" s="10">
        <f t="shared" si="2"/>
        <v>0.14290254713803507</v>
      </c>
    </row>
    <row r="27" spans="2:14" hidden="1">
      <c r="B27" s="11" t="s">
        <v>29</v>
      </c>
      <c r="C27" s="13" t="s">
        <v>9</v>
      </c>
      <c r="D27">
        <v>1990</v>
      </c>
      <c r="E27">
        <v>0.65</v>
      </c>
      <c r="F27" s="24">
        <v>0.63185684923493501</v>
      </c>
      <c r="G27" s="4">
        <f t="shared" si="1"/>
        <v>5.1382965038094031E-2</v>
      </c>
      <c r="H27" s="4">
        <f t="shared" si="0"/>
        <v>0.41070695200270779</v>
      </c>
      <c r="I27" s="10">
        <f t="shared" si="2"/>
        <v>3.3398927274761118E-2</v>
      </c>
    </row>
    <row r="28" spans="2:14">
      <c r="B28" t="s">
        <v>31</v>
      </c>
      <c r="C28" s="13" t="s">
        <v>10</v>
      </c>
      <c r="D28">
        <v>1995</v>
      </c>
      <c r="E28">
        <v>0.7</v>
      </c>
      <c r="F28" s="23">
        <v>1.17426545069108E-2</v>
      </c>
      <c r="G28" s="4">
        <f t="shared" si="1"/>
        <v>5.1530095947314697E-2</v>
      </c>
      <c r="H28" s="4">
        <f t="shared" si="0"/>
        <v>8.2198581548375595E-3</v>
      </c>
      <c r="I28" s="10">
        <f t="shared" si="2"/>
        <v>3.6071067163120286E-2</v>
      </c>
    </row>
    <row r="29" spans="2:14" hidden="1">
      <c r="B29" t="s">
        <v>26</v>
      </c>
      <c r="C29" s="13" t="s">
        <v>10</v>
      </c>
      <c r="D29">
        <v>1995</v>
      </c>
      <c r="E29">
        <v>0.7</v>
      </c>
      <c r="F29" s="24">
        <v>0.38852816604727702</v>
      </c>
      <c r="G29" s="4">
        <f t="shared" si="1"/>
        <v>-3.3212386571628005E-2</v>
      </c>
      <c r="H29" s="4">
        <f t="shared" si="0"/>
        <v>0.27196971623309391</v>
      </c>
      <c r="I29" s="10">
        <f t="shared" si="2"/>
        <v>-2.3248670600139604E-2</v>
      </c>
    </row>
    <row r="30" spans="2:14" hidden="1">
      <c r="B30" t="s">
        <v>27</v>
      </c>
      <c r="C30" s="13" t="s">
        <v>10</v>
      </c>
      <c r="D30">
        <v>1995</v>
      </c>
      <c r="E30">
        <v>0.7</v>
      </c>
      <c r="F30" s="24">
        <v>0.61896494348494402</v>
      </c>
      <c r="G30" s="4">
        <f t="shared" si="1"/>
        <v>4.2775948531012964E-2</v>
      </c>
      <c r="H30" s="4">
        <f t="shared" si="0"/>
        <v>0.4332754604394608</v>
      </c>
      <c r="I30" s="10">
        <f t="shared" si="2"/>
        <v>2.9943163971709073E-2</v>
      </c>
    </row>
    <row r="31" spans="2:14" hidden="1">
      <c r="B31" t="s">
        <v>28</v>
      </c>
      <c r="C31" s="13" t="s">
        <v>10</v>
      </c>
      <c r="D31">
        <v>1995</v>
      </c>
      <c r="E31">
        <v>0.7</v>
      </c>
      <c r="F31" s="24">
        <v>0.22223168172230601</v>
      </c>
      <c r="G31" s="4">
        <f t="shared" si="1"/>
        <v>0.40274852394528204</v>
      </c>
      <c r="H31" s="4">
        <f t="shared" si="0"/>
        <v>0.15556217720561419</v>
      </c>
      <c r="I31" s="10">
        <f t="shared" si="2"/>
        <v>0.2819239667616974</v>
      </c>
    </row>
    <row r="32" spans="2:14" hidden="1">
      <c r="B32" s="11" t="s">
        <v>29</v>
      </c>
      <c r="C32" s="13" t="s">
        <v>10</v>
      </c>
      <c r="D32">
        <v>1995</v>
      </c>
      <c r="E32">
        <v>0.7</v>
      </c>
      <c r="F32" s="24">
        <v>0.55491644012139496</v>
      </c>
      <c r="G32" s="4">
        <f t="shared" si="1"/>
        <v>7.6940409113540054E-2</v>
      </c>
      <c r="H32" s="4">
        <f t="shared" si="0"/>
        <v>0.38844150808497646</v>
      </c>
      <c r="I32" s="10">
        <f t="shared" si="2"/>
        <v>5.3858286379478038E-2</v>
      </c>
    </row>
    <row r="33" spans="2:9">
      <c r="B33" t="s">
        <v>31</v>
      </c>
      <c r="C33" s="13" t="s">
        <v>12</v>
      </c>
      <c r="D33">
        <v>2000</v>
      </c>
      <c r="E33">
        <v>0.75</v>
      </c>
      <c r="F33" s="23">
        <v>-3.9719955653833003E-2</v>
      </c>
      <c r="G33" s="4">
        <f t="shared" si="1"/>
        <v>5.1462610160743799E-2</v>
      </c>
      <c r="H33" s="4">
        <f t="shared" si="0"/>
        <v>-2.9789966740374752E-2</v>
      </c>
      <c r="I33" s="10">
        <f t="shared" si="2"/>
        <v>3.8596957620557849E-2</v>
      </c>
    </row>
    <row r="34" spans="2:9" hidden="1">
      <c r="B34" t="s">
        <v>26</v>
      </c>
      <c r="C34" s="13" t="s">
        <v>12</v>
      </c>
      <c r="D34">
        <v>2000</v>
      </c>
      <c r="E34">
        <v>0.75</v>
      </c>
      <c r="F34" s="24">
        <v>0.38282788096112602</v>
      </c>
      <c r="G34" s="4">
        <f t="shared" si="1"/>
        <v>5.7002850861510024E-3</v>
      </c>
      <c r="H34" s="4">
        <f t="shared" si="0"/>
        <v>0.2871209107208445</v>
      </c>
      <c r="I34" s="10">
        <f t="shared" si="2"/>
        <v>4.2752138146132518E-3</v>
      </c>
    </row>
    <row r="35" spans="2:9" hidden="1">
      <c r="B35" t="s">
        <v>27</v>
      </c>
      <c r="C35" s="13" t="s">
        <v>12</v>
      </c>
      <c r="D35">
        <v>2000</v>
      </c>
      <c r="E35">
        <v>0.75</v>
      </c>
      <c r="F35" s="24">
        <v>0.64552838409130697</v>
      </c>
      <c r="G35" s="4">
        <f t="shared" si="1"/>
        <v>-2.6563440606362954E-2</v>
      </c>
      <c r="H35" s="4">
        <f t="shared" si="0"/>
        <v>0.48414628806848026</v>
      </c>
      <c r="I35" s="10">
        <f t="shared" si="2"/>
        <v>-1.9922580454772215E-2</v>
      </c>
    </row>
    <row r="36" spans="2:9" hidden="1">
      <c r="B36" t="s">
        <v>28</v>
      </c>
      <c r="C36" s="13" t="s">
        <v>12</v>
      </c>
      <c r="D36">
        <v>2000</v>
      </c>
      <c r="E36">
        <v>0.75</v>
      </c>
      <c r="F36" s="24">
        <v>-0.26528744696441497</v>
      </c>
      <c r="G36" s="4">
        <f t="shared" si="1"/>
        <v>0.48751912868672098</v>
      </c>
      <c r="H36" s="4">
        <f t="shared" si="0"/>
        <v>-0.19896558522331123</v>
      </c>
      <c r="I36" s="10">
        <f t="shared" si="2"/>
        <v>0.36563934651504071</v>
      </c>
    </row>
    <row r="37" spans="2:9" hidden="1">
      <c r="B37" s="11" t="s">
        <v>29</v>
      </c>
      <c r="C37" s="13" t="s">
        <v>12</v>
      </c>
      <c r="D37">
        <v>2000</v>
      </c>
      <c r="E37">
        <v>0.75</v>
      </c>
      <c r="F37" s="24">
        <v>0.48479819851251998</v>
      </c>
      <c r="G37" s="4">
        <f t="shared" si="1"/>
        <v>7.0118241608874976E-2</v>
      </c>
      <c r="H37" s="4">
        <f t="shared" si="0"/>
        <v>0.36359864888438997</v>
      </c>
      <c r="I37" s="10">
        <f t="shared" si="2"/>
        <v>5.2588681206656232E-2</v>
      </c>
    </row>
    <row r="38" spans="2:9">
      <c r="B38" t="s">
        <v>31</v>
      </c>
      <c r="C38" s="13" t="s">
        <v>14</v>
      </c>
      <c r="D38">
        <v>2005</v>
      </c>
      <c r="E38">
        <v>0.8</v>
      </c>
      <c r="F38" s="23">
        <v>-0.101714031969504</v>
      </c>
      <c r="G38" s="4">
        <f t="shared" si="1"/>
        <v>6.1994076315670998E-2</v>
      </c>
      <c r="H38" s="4">
        <f t="shared" si="0"/>
        <v>-8.1371225575603209E-2</v>
      </c>
      <c r="I38" s="10">
        <f t="shared" si="2"/>
        <v>4.9595261052536803E-2</v>
      </c>
    </row>
    <row r="39" spans="2:9" hidden="1">
      <c r="B39" t="s">
        <v>26</v>
      </c>
      <c r="C39" s="13" t="s">
        <v>14</v>
      </c>
      <c r="D39">
        <v>2005</v>
      </c>
      <c r="E39">
        <v>0.8</v>
      </c>
      <c r="F39" s="24">
        <v>0.31231466155836002</v>
      </c>
      <c r="G39" s="4">
        <f t="shared" si="1"/>
        <v>7.0513219402766003E-2</v>
      </c>
      <c r="H39" s="4">
        <f t="shared" si="0"/>
        <v>0.24985172924668803</v>
      </c>
      <c r="I39" s="10">
        <f t="shared" si="2"/>
        <v>5.6410575522212805E-2</v>
      </c>
    </row>
    <row r="40" spans="2:9" hidden="1">
      <c r="B40" t="s">
        <v>27</v>
      </c>
      <c r="C40" s="13" t="s">
        <v>14</v>
      </c>
      <c r="D40">
        <v>2005</v>
      </c>
      <c r="E40">
        <v>0.8</v>
      </c>
      <c r="F40" s="24">
        <v>0.66177723360805696</v>
      </c>
      <c r="G40" s="4">
        <f t="shared" si="1"/>
        <v>-1.6248849516749986E-2</v>
      </c>
      <c r="H40" s="4">
        <f t="shared" si="0"/>
        <v>0.52942178688644559</v>
      </c>
      <c r="I40" s="10">
        <f t="shared" si="2"/>
        <v>-1.2999079613399989E-2</v>
      </c>
    </row>
    <row r="41" spans="2:9" hidden="1">
      <c r="B41" t="s">
        <v>28</v>
      </c>
      <c r="C41" s="13" t="s">
        <v>14</v>
      </c>
      <c r="D41">
        <v>2005</v>
      </c>
      <c r="E41">
        <v>0.8</v>
      </c>
      <c r="F41" s="24">
        <v>-0.58850528630522103</v>
      </c>
      <c r="G41" s="4">
        <f t="shared" si="1"/>
        <v>0.32321783934080606</v>
      </c>
      <c r="H41" s="4">
        <f t="shared" si="0"/>
        <v>-0.47080422904417685</v>
      </c>
      <c r="I41" s="10">
        <f t="shared" si="2"/>
        <v>0.25857427147264483</v>
      </c>
    </row>
    <row r="42" spans="2:9" hidden="1">
      <c r="B42" s="11" t="s">
        <v>29</v>
      </c>
      <c r="C42" s="13" t="s">
        <v>14</v>
      </c>
      <c r="D42">
        <v>2005</v>
      </c>
      <c r="E42">
        <v>0.8</v>
      </c>
      <c r="F42" s="24">
        <v>0.48114220617407</v>
      </c>
      <c r="G42" s="4">
        <f t="shared" si="1"/>
        <v>3.6559923384499871E-3</v>
      </c>
      <c r="H42" s="4">
        <f t="shared" si="0"/>
        <v>0.384913764939256</v>
      </c>
      <c r="I42" s="10">
        <f t="shared" si="2"/>
        <v>2.9247938707599899E-3</v>
      </c>
    </row>
    <row r="43" spans="2:9">
      <c r="B43" t="s">
        <v>31</v>
      </c>
      <c r="C43" s="13" t="s">
        <v>13</v>
      </c>
      <c r="D43">
        <v>2010</v>
      </c>
      <c r="E43">
        <v>0.85</v>
      </c>
      <c r="F43" s="23">
        <v>-0.17579844729236699</v>
      </c>
      <c r="G43" s="4">
        <f t="shared" si="1"/>
        <v>7.4084415322862987E-2</v>
      </c>
      <c r="H43" s="4">
        <f t="shared" si="0"/>
        <v>-0.14942868019851194</v>
      </c>
      <c r="I43" s="10">
        <f t="shared" si="2"/>
        <v>6.2971753024433544E-2</v>
      </c>
    </row>
    <row r="44" spans="2:9" hidden="1">
      <c r="B44" t="s">
        <v>26</v>
      </c>
      <c r="C44" s="13" t="s">
        <v>13</v>
      </c>
      <c r="D44">
        <v>2010</v>
      </c>
      <c r="E44">
        <v>0.85</v>
      </c>
      <c r="F44" s="24">
        <v>0.167373142740742</v>
      </c>
      <c r="G44" s="4">
        <f t="shared" si="1"/>
        <v>0.14494151881761802</v>
      </c>
      <c r="H44" s="4">
        <f t="shared" si="0"/>
        <v>0.14226717132963068</v>
      </c>
      <c r="I44" s="10">
        <f t="shared" si="2"/>
        <v>0.12320029099497531</v>
      </c>
    </row>
    <row r="45" spans="2:9" hidden="1">
      <c r="B45" t="s">
        <v>27</v>
      </c>
      <c r="C45" s="13" t="s">
        <v>13</v>
      </c>
      <c r="D45">
        <v>2010</v>
      </c>
      <c r="E45">
        <v>0.85</v>
      </c>
      <c r="F45" s="24">
        <v>0.65115729297893798</v>
      </c>
      <c r="G45" s="4">
        <f t="shared" si="1"/>
        <v>1.0619940629118974E-2</v>
      </c>
      <c r="H45" s="4">
        <f t="shared" si="0"/>
        <v>0.55348369903209726</v>
      </c>
      <c r="I45" s="10">
        <f t="shared" si="2"/>
        <v>9.0269495347511264E-3</v>
      </c>
    </row>
    <row r="46" spans="2:9" hidden="1">
      <c r="B46" t="s">
        <v>28</v>
      </c>
      <c r="C46" s="13" t="s">
        <v>13</v>
      </c>
      <c r="D46">
        <v>2010</v>
      </c>
      <c r="E46">
        <v>0.85</v>
      </c>
      <c r="F46" s="24">
        <v>7.8079002169573197E-2</v>
      </c>
      <c r="G46" s="4">
        <f t="shared" si="1"/>
        <v>-0.66658428847479423</v>
      </c>
      <c r="H46" s="4">
        <f t="shared" si="0"/>
        <v>6.6367151844137218E-2</v>
      </c>
      <c r="I46" s="10">
        <f t="shared" si="2"/>
        <v>-0.56659664520357511</v>
      </c>
    </row>
    <row r="47" spans="2:9" hidden="1">
      <c r="B47" s="11" t="s">
        <v>29</v>
      </c>
      <c r="C47" s="13" t="s">
        <v>13</v>
      </c>
      <c r="D47">
        <v>2010</v>
      </c>
      <c r="E47">
        <v>0.85</v>
      </c>
      <c r="F47" s="24">
        <v>0.44063543817533102</v>
      </c>
      <c r="G47" s="4">
        <f t="shared" si="1"/>
        <v>4.0506767998738979E-2</v>
      </c>
      <c r="H47" s="4">
        <f t="shared" si="0"/>
        <v>0.37454012244903134</v>
      </c>
      <c r="I47" s="10">
        <f t="shared" si="2"/>
        <v>3.4430752798928134E-2</v>
      </c>
    </row>
    <row r="48" spans="2:9">
      <c r="B48" t="s">
        <v>31</v>
      </c>
      <c r="C48" s="13" t="s">
        <v>15</v>
      </c>
      <c r="D48">
        <v>2015</v>
      </c>
      <c r="E48">
        <v>0.9</v>
      </c>
      <c r="F48" s="23">
        <v>-0.206100686754007</v>
      </c>
      <c r="G48" s="4">
        <f t="shared" si="1"/>
        <v>3.0302239461640013E-2</v>
      </c>
      <c r="H48" s="4">
        <f t="shared" si="0"/>
        <v>-0.18549061807860631</v>
      </c>
      <c r="I48" s="10">
        <f t="shared" si="2"/>
        <v>2.7272015515476013E-2</v>
      </c>
    </row>
    <row r="49" spans="2:9" hidden="1">
      <c r="B49" t="s">
        <v>26</v>
      </c>
      <c r="C49" s="13" t="s">
        <v>15</v>
      </c>
      <c r="D49">
        <v>2015</v>
      </c>
      <c r="E49">
        <v>0.9</v>
      </c>
      <c r="F49" s="24">
        <v>0.95782239065375696</v>
      </c>
      <c r="G49" s="4">
        <f t="shared" si="1"/>
        <v>-0.79044924791301496</v>
      </c>
      <c r="H49" s="4">
        <f t="shared" si="0"/>
        <v>0.86204015158838132</v>
      </c>
      <c r="I49" s="10">
        <f t="shared" si="2"/>
        <v>-0.71140432312171353</v>
      </c>
    </row>
    <row r="50" spans="2:9" hidden="1">
      <c r="B50" t="s">
        <v>27</v>
      </c>
      <c r="C50" s="13" t="s">
        <v>15</v>
      </c>
      <c r="D50">
        <v>2015</v>
      </c>
      <c r="E50">
        <v>0.9</v>
      </c>
      <c r="F50" s="24">
        <v>0.50142751524717699</v>
      </c>
      <c r="G50" s="4">
        <f t="shared" si="1"/>
        <v>0.14972977773176099</v>
      </c>
      <c r="H50" s="4">
        <f t="shared" si="0"/>
        <v>0.45128476372245929</v>
      </c>
      <c r="I50" s="10">
        <f t="shared" si="2"/>
        <v>0.13475679995858489</v>
      </c>
    </row>
    <row r="51" spans="2:9" hidden="1">
      <c r="B51" t="s">
        <v>28</v>
      </c>
      <c r="C51" s="13" t="s">
        <v>15</v>
      </c>
      <c r="D51">
        <v>2015</v>
      </c>
      <c r="E51">
        <v>0.9</v>
      </c>
      <c r="F51" s="24">
        <v>0.478877277360716</v>
      </c>
      <c r="G51" s="4">
        <f t="shared" si="1"/>
        <v>-0.40079827519114281</v>
      </c>
      <c r="H51" s="4">
        <f t="shared" si="0"/>
        <v>0.43098954962464442</v>
      </c>
      <c r="I51" s="10">
        <f t="shared" si="2"/>
        <v>-0.36071844767202854</v>
      </c>
    </row>
    <row r="52" spans="2:9" hidden="1">
      <c r="B52" t="s">
        <v>29</v>
      </c>
      <c r="C52" s="13" t="s">
        <v>15</v>
      </c>
      <c r="D52">
        <v>2015</v>
      </c>
      <c r="E52">
        <v>0.9</v>
      </c>
      <c r="F52" s="24">
        <v>0.29845123934512302</v>
      </c>
      <c r="G52" s="4">
        <f t="shared" si="1"/>
        <v>0.142184198830208</v>
      </c>
      <c r="H52" s="4">
        <f t="shared" si="0"/>
        <v>0.26860611541061075</v>
      </c>
      <c r="I52" s="10">
        <f t="shared" si="2"/>
        <v>0.12796577894718719</v>
      </c>
    </row>
    <row r="53" spans="2:9">
      <c r="C53" s="14"/>
      <c r="D53" s="6">
        <v>2020</v>
      </c>
      <c r="E53" s="6"/>
      <c r="F53" s="26"/>
      <c r="G53" s="6"/>
      <c r="H53" s="6"/>
      <c r="I53" s="11"/>
    </row>
    <row r="56" spans="2:9">
      <c r="D56" s="22" t="s">
        <v>20</v>
      </c>
      <c r="E56" t="s">
        <v>25</v>
      </c>
      <c r="F56" s="25" t="s">
        <v>2</v>
      </c>
      <c r="G56" s="5" t="s">
        <v>16</v>
      </c>
      <c r="H56" s="5" t="s">
        <v>17</v>
      </c>
      <c r="I56" s="5" t="s">
        <v>18</v>
      </c>
    </row>
    <row r="57" spans="2:9">
      <c r="E57" t="s">
        <v>31</v>
      </c>
      <c r="F57" s="24">
        <f t="shared" ref="F57:I57" si="3">AVERAGE(F3,F8,F13,F18,F23,F28,F33,F38,F43,F48)</f>
        <v>5.1765358360313526E-2</v>
      </c>
      <c r="G57" s="24">
        <f t="shared" si="3"/>
        <v>6.6766392231418448E-2</v>
      </c>
      <c r="H57" s="24">
        <f t="shared" si="3"/>
        <v>8.7462524103083337E-3</v>
      </c>
      <c r="I57" s="24">
        <f t="shared" si="3"/>
        <v>4.4370767899378327E-2</v>
      </c>
    </row>
    <row r="58" spans="2:9" hidden="1">
      <c r="E58" t="s">
        <v>26</v>
      </c>
      <c r="F58" s="24">
        <f>AVERAGE(F4,F9,F14,F19,F24,F29,F34,F39,F44,F49)</f>
        <v>0.4081544048243867</v>
      </c>
      <c r="G58" s="24">
        <f t="shared" ref="G58:I58" si="4">AVERAGE(G4,G9,G14,G19,G24,G29,G34,G39,G44,G49)</f>
        <v>-5.601987847315399E-2</v>
      </c>
      <c r="H58" s="24">
        <f t="shared" si="4"/>
        <v>0.283033549481714</v>
      </c>
      <c r="I58" s="24">
        <f t="shared" si="4"/>
        <v>-5.5746055636773213E-2</v>
      </c>
    </row>
    <row r="59" spans="2:9" hidden="1">
      <c r="E59" t="s">
        <v>27</v>
      </c>
      <c r="F59" s="24">
        <f>AVERAGE(F5,F10,F15,F20,F25,F30,F35,F40,F45,F50)</f>
        <v>0.62273054191183497</v>
      </c>
      <c r="G59" s="24">
        <f t="shared" ref="G59:I59" si="5">AVERAGE(G5,G10,G15,G20,G25,G30,G35,G40,G45,G50)</f>
        <v>1.7104231586078447E-2</v>
      </c>
      <c r="H59" s="24">
        <f t="shared" si="5"/>
        <v>0.41845644347884436</v>
      </c>
      <c r="I59" s="24">
        <f t="shared" si="5"/>
        <v>1.4435961250660732E-2</v>
      </c>
    </row>
    <row r="60" spans="2:9" hidden="1">
      <c r="E60" t="s">
        <v>28</v>
      </c>
      <c r="F60" s="24">
        <f>AVERAGE(F6,F11,F16,F21,F26,F31,F36,F41,F46,F51)</f>
        <v>0.40394063086267284</v>
      </c>
      <c r="G60" s="24">
        <f t="shared" ref="G60:I60" si="6">AVERAGE(G6,G11,G16,G21,G26,G31,G36,G41,G46,G51)</f>
        <v>4.3480293007239997E-2</v>
      </c>
      <c r="H60" s="24">
        <f t="shared" si="6"/>
        <v>0.22251881340606144</v>
      </c>
      <c r="I60" s="24">
        <f t="shared" si="6"/>
        <v>1.5402984825588932E-2</v>
      </c>
    </row>
    <row r="61" spans="2:9" hidden="1">
      <c r="E61" t="s">
        <v>29</v>
      </c>
      <c r="F61" s="24">
        <f>AVERAGE(F7,F12,F17,F22,F27,F32,F37,F42,F47,F52)</f>
        <v>0.61543883182216585</v>
      </c>
      <c r="G61" s="24">
        <f t="shared" ref="G61:I61" si="7">AVERAGE(G7,G12,G17,G22,G27,G32,G37,G42,G47,G52)</f>
        <v>7.2755100282055007E-2</v>
      </c>
      <c r="H61" s="24">
        <f t="shared" si="7"/>
        <v>0.38812121294657265</v>
      </c>
      <c r="I61" s="24">
        <f t="shared" si="7"/>
        <v>5.0350216931204915E-2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</vt:lpstr>
      <vt:lpstr>5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Shepherd</dc:creator>
  <cp:lastModifiedBy>Elijah Shepherd</cp:lastModifiedBy>
  <dcterms:created xsi:type="dcterms:W3CDTF">2024-04-01T22:19:14Z</dcterms:created>
  <dcterms:modified xsi:type="dcterms:W3CDTF">2024-04-09T01:13:15Z</dcterms:modified>
</cp:coreProperties>
</file>